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\Documents\GitHub\CBLMBuilder-Agent\cblm-builder\templates\"/>
    </mc:Choice>
  </mc:AlternateContent>
  <xr:revisionPtr revIDLastSave="0" documentId="13_ncr:1_{0A4EC8DE-29B0-4E78-9A20-111A183D69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" sheetId="1" r:id="rId1"/>
  </sheets>
  <definedNames>
    <definedName name="_xlnm.Print_Area" localSheetId="0">CODE!$A$1:$Q$29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4gsNaaRzeBqhB3/1nsDZQKVyy56zOhW3itknSMQjFgw="/>
    </ext>
  </extLst>
</workbook>
</file>

<file path=xl/calcChain.xml><?xml version="1.0" encoding="utf-8"?>
<calcChain xmlns="http://schemas.openxmlformats.org/spreadsheetml/2006/main">
  <c r="M20" i="1" l="1"/>
  <c r="N19" i="1" s="1"/>
  <c r="N13" i="1" l="1"/>
  <c r="N14" i="1"/>
  <c r="N15" i="1"/>
  <c r="N16" i="1"/>
  <c r="N17" i="1"/>
  <c r="N18" i="1"/>
  <c r="N20" i="1" l="1"/>
  <c r="O14" i="1" l="1"/>
  <c r="P14" i="1" s="1"/>
  <c r="O19" i="1"/>
  <c r="P19" i="1" s="1"/>
  <c r="O13" i="1"/>
  <c r="O18" i="1"/>
  <c r="P18" i="1" s="1"/>
  <c r="O15" i="1"/>
  <c r="P15" i="1" s="1"/>
  <c r="O16" i="1"/>
  <c r="P16" i="1" s="1"/>
  <c r="O17" i="1"/>
  <c r="P17" i="1" s="1"/>
  <c r="O20" i="1" l="1"/>
  <c r="P13" i="1"/>
  <c r="P21" i="1" s="1"/>
</calcChain>
</file>

<file path=xl/sharedStrings.xml><?xml version="1.0" encoding="utf-8"?>
<sst xmlns="http://schemas.openxmlformats.org/spreadsheetml/2006/main" count="85" uniqueCount="48">
  <si>
    <t>No.</t>
  </si>
  <si>
    <t>Content/Topics</t>
  </si>
  <si>
    <t>Objectives</t>
  </si>
  <si>
    <t>Knowledge</t>
  </si>
  <si>
    <t>Comprehension</t>
  </si>
  <si>
    <t>Application</t>
  </si>
  <si>
    <t>No. of Days Taught</t>
  </si>
  <si>
    <t>%</t>
  </si>
  <si>
    <t>No. of Items</t>
  </si>
  <si>
    <t>TOTAL</t>
  </si>
  <si>
    <t>Prepared by:</t>
  </si>
  <si>
    <t>Noted by:</t>
  </si>
  <si>
    <t>Checked and Review by:</t>
  </si>
  <si>
    <t>Approved by:</t>
  </si>
  <si>
    <t>MR. JOSEPH BINGBONG M. GUTIERREZ, CHP, LPT</t>
  </si>
  <si>
    <t>MR. MICHAEL B. GONZALES</t>
  </si>
  <si>
    <t>MS. RICHEL C. KALAW, MAEd, LPT</t>
  </si>
  <si>
    <t>Trainer, DBFDIS</t>
  </si>
  <si>
    <t>Diploma Program Chair</t>
  </si>
  <si>
    <t>Instructor Supervisor</t>
  </si>
  <si>
    <t>Department Head</t>
  </si>
  <si>
    <t>REMINDERS:</t>
  </si>
  <si>
    <t>TOS is already formatted</t>
  </si>
  <si>
    <t>Adjust the number of days taught (M13:M19) to your actual number of days</t>
  </si>
  <si>
    <t>modifying these would give you the number of items</t>
  </si>
  <si>
    <t>Adjust the desired number of items (P20)</t>
  </si>
  <si>
    <t>per topic</t>
  </si>
  <si>
    <t>Remember N19 must always be equivalent to 100</t>
  </si>
  <si>
    <t>Remember O19 must always be equivalent to 1</t>
  </si>
  <si>
    <t>When you add the number of items from P13:P19, the sum is 62.  The technique to get the actual number of items which is 55,</t>
  </si>
  <si>
    <t>is to deduct 2 items from your chosen topic.  In the template, red ccolor number is highlighted which means modify 11 to 10 to get the actual/desired</t>
  </si>
  <si>
    <t xml:space="preserve">number of items.  </t>
  </si>
  <si>
    <t xml:space="preserve">Always save the original template before any modifications. </t>
  </si>
  <si>
    <t>Remembering, Understanding and Applying must be 40% of the total number of items - 22</t>
  </si>
  <si>
    <t>Analyzing, Evaluating and Creating must be 60% of the total nu ber of items - 33</t>
  </si>
  <si>
    <t>For Midterm period, the ratio must be 30:70</t>
  </si>
  <si>
    <t>For Final period, the ratio must be 20:80</t>
  </si>
  <si>
    <t>To check if you distributed the number of items correctly, the total number of items when you count horizontally and vertically</t>
  </si>
  <si>
    <t>must be the same.</t>
  </si>
  <si>
    <t>{{subject_code_with_title}}</t>
  </si>
  <si>
    <t>{{topic}}</t>
  </si>
  <si>
    <t>{{objectives}}</t>
  </si>
  <si>
    <t>MR. ROMAN YSRAEL G. ALBA</t>
  </si>
  <si>
    <t>{{number_of_days}}</t>
  </si>
  <si>
    <t>{{k_array}}</t>
  </si>
  <si>
    <t>{{c_array}}</t>
  </si>
  <si>
    <t>{{a_array}}</t>
  </si>
  <si>
    <t>Final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</si>
</sst>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name val="Calibri"/>
    </font>
    <font>
      <b/>
      <sz val="11"/>
      <color rgb="FFFF0000"/>
      <name val="Arial Narrow"/>
    </font>
    <font>
      <b/>
      <sz val="12"/>
      <color theme="1"/>
      <name val="Arial Narrow"/>
    </font>
    <font>
      <sz val="12"/>
      <color theme="1"/>
      <name val="Arial Narrow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6" fillId="2" borderId="5" xfId="0" applyFont="1" applyFill="1" applyBorder="1"/>
    <xf numFmtId="0" fontId="1" fillId="2" borderId="5" xfId="0" applyFont="1" applyFill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0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533400</xdr:colOff>
      <xdr:row>33</xdr:row>
      <xdr:rowOff>-9525</xdr:rowOff>
    </xdr:from>
    <xdr:ext cx="69532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12625" y="3599025"/>
          <a:ext cx="666750" cy="361950"/>
        </a:xfrm>
        <a:prstGeom prst="rightBrace">
          <a:avLst>
            <a:gd name="adj1" fmla="val 8333"/>
            <a:gd name="adj2" fmla="val 50000"/>
          </a:avLst>
        </a:prstGeom>
        <a:noFill/>
        <a:ln w="28575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491637</xdr:colOff>
      <xdr:row>0</xdr:row>
      <xdr:rowOff>167054</xdr:rowOff>
    </xdr:from>
    <xdr:ext cx="565785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6675" y="167054"/>
          <a:ext cx="5657850" cy="809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30" zoomScale="130" zoomScaleNormal="130" workbookViewId="0">
      <selection activeCell="F41" sqref="F41"/>
    </sheetView>
  </sheetViews>
  <sheetFormatPr defaultColWidth="14.42578125" defaultRowHeight="15" customHeight="1" x14ac:dyDescent="0.25"/>
  <cols>
    <col min="1" max="1" width="8.7109375" customWidth="1"/>
    <col min="2" max="2" width="4.5703125" customWidth="1"/>
    <col min="3" max="4" width="8.7109375" customWidth="1"/>
    <col min="5" max="5" width="11.42578125" customWidth="1"/>
    <col min="6" max="8" width="8.7109375" customWidth="1"/>
    <col min="9" max="9" width="3" customWidth="1"/>
    <col min="10" max="10" width="23.28515625" customWidth="1"/>
    <col min="11" max="11" width="25.7109375" customWidth="1"/>
    <col min="12" max="12" width="24.28515625" customWidth="1"/>
    <col min="13" max="13" width="11.140625" customWidth="1"/>
    <col min="14" max="15" width="9.140625" customWidth="1"/>
    <col min="16" max="16" width="17.85546875" customWidth="1"/>
    <col min="17" max="26" width="8.710937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9" t="s">
        <v>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9" t="s">
        <v>47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">
      <c r="A11" s="1"/>
      <c r="B11" s="1"/>
      <c r="C11" s="1"/>
      <c r="D11" s="1"/>
      <c r="E11" s="21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">
      <c r="A12" s="1"/>
      <c r="B12" s="2" t="s">
        <v>0</v>
      </c>
      <c r="C12" s="22" t="s">
        <v>1</v>
      </c>
      <c r="D12" s="23"/>
      <c r="E12" s="24"/>
      <c r="F12" s="22" t="s">
        <v>2</v>
      </c>
      <c r="G12" s="23"/>
      <c r="H12" s="23"/>
      <c r="I12" s="24"/>
      <c r="J12" s="2" t="s">
        <v>3</v>
      </c>
      <c r="K12" s="2" t="s">
        <v>4</v>
      </c>
      <c r="L12" s="2" t="s">
        <v>5</v>
      </c>
      <c r="M12" s="3" t="s">
        <v>6</v>
      </c>
      <c r="N12" s="2" t="s">
        <v>7</v>
      </c>
      <c r="O12" s="2" t="s">
        <v>7</v>
      </c>
      <c r="P12" s="3" t="s"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1"/>
      <c r="B13" s="4">
        <v>1</v>
      </c>
      <c r="C13" s="25" t="s">
        <v>40</v>
      </c>
      <c r="D13" s="26"/>
      <c r="E13" s="27"/>
      <c r="F13" s="25" t="s">
        <v>41</v>
      </c>
      <c r="G13" s="26"/>
      <c r="H13" s="26"/>
      <c r="I13" s="27"/>
      <c r="J13" s="18" t="s">
        <v>44</v>
      </c>
      <c r="K13" s="18" t="s">
        <v>45</v>
      </c>
      <c r="L13" s="18" t="s">
        <v>46</v>
      </c>
      <c r="M13" s="17" t="s">
        <v>43</v>
      </c>
      <c r="N13" s="5" t="e">
        <f t="shared" ref="N13:N19" si="0">(M13/M$20*100)</f>
        <v>#VALUE!</v>
      </c>
      <c r="O13" s="5" t="e">
        <f t="shared" ref="O13:O19" si="1">(N13/N$20)</f>
        <v>#VALUE!</v>
      </c>
      <c r="P13" s="14" t="e">
        <f t="shared" ref="P13:P19" si="2">ROUND((O13*P$20),0)</f>
        <v>#VALUE!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1"/>
      <c r="B14" s="4">
        <v>2</v>
      </c>
      <c r="C14" s="25" t="s">
        <v>40</v>
      </c>
      <c r="D14" s="26"/>
      <c r="E14" s="27"/>
      <c r="F14" s="25" t="s">
        <v>41</v>
      </c>
      <c r="G14" s="26"/>
      <c r="H14" s="26"/>
      <c r="I14" s="27"/>
      <c r="J14" s="18" t="s">
        <v>44</v>
      </c>
      <c r="K14" s="18" t="s">
        <v>45</v>
      </c>
      <c r="L14" s="18" t="s">
        <v>46</v>
      </c>
      <c r="M14" s="17" t="s">
        <v>43</v>
      </c>
      <c r="N14" s="5" t="e">
        <f t="shared" si="0"/>
        <v>#VALUE!</v>
      </c>
      <c r="O14" s="5" t="e">
        <f t="shared" si="1"/>
        <v>#VALUE!</v>
      </c>
      <c r="P14" s="14" t="e">
        <f t="shared" si="2"/>
        <v>#VALUE!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">
      <c r="A15" s="1"/>
      <c r="B15" s="4">
        <v>3</v>
      </c>
      <c r="C15" s="25" t="s">
        <v>40</v>
      </c>
      <c r="D15" s="26"/>
      <c r="E15" s="27"/>
      <c r="F15" s="25" t="s">
        <v>41</v>
      </c>
      <c r="G15" s="26"/>
      <c r="H15" s="26"/>
      <c r="I15" s="27"/>
      <c r="J15" s="18" t="s">
        <v>44</v>
      </c>
      <c r="K15" s="18" t="s">
        <v>45</v>
      </c>
      <c r="L15" s="18" t="s">
        <v>46</v>
      </c>
      <c r="M15" s="17" t="s">
        <v>43</v>
      </c>
      <c r="N15" s="5" t="e">
        <f t="shared" si="0"/>
        <v>#VALUE!</v>
      </c>
      <c r="O15" s="5" t="e">
        <f t="shared" si="1"/>
        <v>#VALUE!</v>
      </c>
      <c r="P15" s="14" t="e">
        <f t="shared" si="2"/>
        <v>#VALUE!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">
      <c r="A16" s="1"/>
      <c r="B16" s="4">
        <v>4</v>
      </c>
      <c r="C16" s="25" t="s">
        <v>40</v>
      </c>
      <c r="D16" s="26"/>
      <c r="E16" s="27"/>
      <c r="F16" s="25" t="s">
        <v>41</v>
      </c>
      <c r="G16" s="26"/>
      <c r="H16" s="26"/>
      <c r="I16" s="27"/>
      <c r="J16" s="18" t="s">
        <v>44</v>
      </c>
      <c r="K16" s="18" t="s">
        <v>45</v>
      </c>
      <c r="L16" s="18" t="s">
        <v>46</v>
      </c>
      <c r="M16" s="17" t="s">
        <v>43</v>
      </c>
      <c r="N16" s="5" t="e">
        <f t="shared" si="0"/>
        <v>#VALUE!</v>
      </c>
      <c r="O16" s="5" t="e">
        <f t="shared" si="1"/>
        <v>#VALUE!</v>
      </c>
      <c r="P16" s="14" t="e">
        <f t="shared" si="2"/>
        <v>#VALUE!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1"/>
      <c r="B17" s="4">
        <v>5</v>
      </c>
      <c r="C17" s="25" t="s">
        <v>40</v>
      </c>
      <c r="D17" s="26"/>
      <c r="E17" s="27"/>
      <c r="F17" s="25" t="s">
        <v>41</v>
      </c>
      <c r="G17" s="26"/>
      <c r="H17" s="26"/>
      <c r="I17" s="27"/>
      <c r="J17" s="18" t="s">
        <v>44</v>
      </c>
      <c r="K17" s="18" t="s">
        <v>45</v>
      </c>
      <c r="L17" s="18" t="s">
        <v>46</v>
      </c>
      <c r="M17" s="17" t="s">
        <v>43</v>
      </c>
      <c r="N17" s="5" t="e">
        <f t="shared" si="0"/>
        <v>#VALUE!</v>
      </c>
      <c r="O17" s="5" t="e">
        <f t="shared" si="1"/>
        <v>#VALUE!</v>
      </c>
      <c r="P17" s="14" t="e">
        <f t="shared" si="2"/>
        <v>#VALUE!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1"/>
      <c r="B18" s="4">
        <v>6</v>
      </c>
      <c r="C18" s="25" t="s">
        <v>40</v>
      </c>
      <c r="D18" s="26"/>
      <c r="E18" s="27"/>
      <c r="F18" s="25" t="s">
        <v>41</v>
      </c>
      <c r="G18" s="26"/>
      <c r="H18" s="26"/>
      <c r="I18" s="27"/>
      <c r="J18" s="18" t="s">
        <v>44</v>
      </c>
      <c r="K18" s="18" t="s">
        <v>45</v>
      </c>
      <c r="L18" s="18" t="s">
        <v>46</v>
      </c>
      <c r="M18" s="17" t="s">
        <v>43</v>
      </c>
      <c r="N18" s="5" t="e">
        <f t="shared" si="0"/>
        <v>#VALUE!</v>
      </c>
      <c r="O18" s="5" t="e">
        <f t="shared" si="1"/>
        <v>#VALUE!</v>
      </c>
      <c r="P18" s="14" t="e">
        <f t="shared" si="2"/>
        <v>#VALUE!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">
      <c r="A19" s="1"/>
      <c r="B19" s="4">
        <v>7</v>
      </c>
      <c r="C19" s="25" t="s">
        <v>40</v>
      </c>
      <c r="D19" s="26"/>
      <c r="E19" s="27"/>
      <c r="F19" s="25" t="s">
        <v>41</v>
      </c>
      <c r="G19" s="26"/>
      <c r="H19" s="26"/>
      <c r="I19" s="27"/>
      <c r="J19" s="18" t="s">
        <v>44</v>
      </c>
      <c r="K19" s="18" t="s">
        <v>45</v>
      </c>
      <c r="L19" s="18" t="s">
        <v>46</v>
      </c>
      <c r="M19" s="17" t="s">
        <v>43</v>
      </c>
      <c r="N19" s="5" t="e">
        <f t="shared" si="0"/>
        <v>#VALUE!</v>
      </c>
      <c r="O19" s="5" t="e">
        <f t="shared" si="1"/>
        <v>#VALUE!</v>
      </c>
      <c r="P19" s="14" t="e">
        <f t="shared" si="2"/>
        <v>#VALUE!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">
      <c r="A20" s="1"/>
      <c r="B20" s="22" t="s">
        <v>9</v>
      </c>
      <c r="C20" s="23"/>
      <c r="D20" s="23"/>
      <c r="E20" s="23"/>
      <c r="F20" s="23"/>
      <c r="G20" s="23"/>
      <c r="H20" s="23"/>
      <c r="I20" s="24"/>
      <c r="J20" s="6"/>
      <c r="K20" s="6"/>
      <c r="L20" s="6"/>
      <c r="M20" s="7">
        <f t="shared" ref="M20:O20" si="3">SUM(M13:M19)</f>
        <v>0</v>
      </c>
      <c r="N20" s="8" t="e">
        <f t="shared" si="3"/>
        <v>#VALUE!</v>
      </c>
      <c r="O20" s="8" t="e">
        <f t="shared" si="3"/>
        <v>#VALUE!</v>
      </c>
      <c r="P20" s="15">
        <v>50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e">
        <f>SUM(P13:P19)</f>
        <v>#VALUE!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1"/>
      <c r="B24" s="1" t="s">
        <v>10</v>
      </c>
      <c r="C24" s="1"/>
      <c r="D24" s="1"/>
      <c r="E24" s="1"/>
      <c r="F24" s="1"/>
      <c r="G24" s="1"/>
      <c r="H24" s="1" t="s">
        <v>11</v>
      </c>
      <c r="I24" s="1"/>
      <c r="J24" s="1"/>
      <c r="K24" s="1"/>
      <c r="L24" s="1" t="s">
        <v>12</v>
      </c>
      <c r="M24" s="1"/>
      <c r="N24" s="1" t="s">
        <v>13</v>
      </c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">
      <c r="A27" s="1"/>
      <c r="B27" s="16" t="s">
        <v>42</v>
      </c>
      <c r="C27" s="9"/>
      <c r="D27" s="9"/>
      <c r="E27" s="9"/>
      <c r="F27" s="1"/>
      <c r="G27" s="1"/>
      <c r="H27" s="9" t="s">
        <v>14</v>
      </c>
      <c r="I27" s="1"/>
      <c r="J27" s="1"/>
      <c r="K27" s="1"/>
      <c r="L27" s="9" t="s">
        <v>15</v>
      </c>
      <c r="M27" s="1"/>
      <c r="N27" s="9" t="s">
        <v>16</v>
      </c>
      <c r="O27" s="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">
      <c r="A28" s="1"/>
      <c r="B28" s="1" t="s">
        <v>17</v>
      </c>
      <c r="C28" s="1"/>
      <c r="D28" s="1"/>
      <c r="E28" s="1"/>
      <c r="F28" s="1"/>
      <c r="G28" s="1"/>
      <c r="H28" s="1" t="s">
        <v>18</v>
      </c>
      <c r="I28" s="1"/>
      <c r="J28" s="1"/>
      <c r="K28" s="1"/>
      <c r="L28" s="1" t="s">
        <v>19</v>
      </c>
      <c r="M28" s="1"/>
      <c r="N28" s="1" t="s">
        <v>20</v>
      </c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">
      <c r="A32" s="1"/>
      <c r="B32" s="10" t="s">
        <v>21</v>
      </c>
      <c r="C32" s="1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">
      <c r="A33" s="1"/>
      <c r="B33" s="11">
        <v>1</v>
      </c>
      <c r="C33" s="11" t="s">
        <v>22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">
      <c r="A34" s="1"/>
      <c r="B34" s="11">
        <v>2</v>
      </c>
      <c r="C34" s="12" t="s">
        <v>23</v>
      </c>
      <c r="D34" s="13"/>
      <c r="E34" s="13"/>
      <c r="F34" s="13"/>
      <c r="G34" s="13"/>
      <c r="H34" s="13"/>
      <c r="I34" s="13"/>
      <c r="J34" s="13"/>
      <c r="K34" s="11" t="s">
        <v>24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">
      <c r="A35" s="1"/>
      <c r="B35" s="11"/>
      <c r="C35" s="12" t="s">
        <v>25</v>
      </c>
      <c r="D35" s="13"/>
      <c r="E35" s="13"/>
      <c r="F35" s="13"/>
      <c r="G35" s="13"/>
      <c r="H35" s="13"/>
      <c r="I35" s="13"/>
      <c r="J35" s="13"/>
      <c r="K35" s="11" t="s">
        <v>26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1"/>
      <c r="B36" s="11">
        <v>3</v>
      </c>
      <c r="C36" s="11" t="s">
        <v>27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">
      <c r="A37" s="1"/>
      <c r="B37" s="11"/>
      <c r="C37" s="11" t="s">
        <v>28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1"/>
      <c r="B38" s="11">
        <v>4</v>
      </c>
      <c r="C38" s="11" t="s">
        <v>29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1"/>
      <c r="B39" s="11"/>
      <c r="C39" s="11" t="s">
        <v>30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1"/>
      <c r="B40" s="11"/>
      <c r="C40" s="11" t="s">
        <v>31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">
      <c r="A41" s="1"/>
      <c r="B41" s="11"/>
      <c r="C41" s="11" t="s">
        <v>32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">
      <c r="A42" s="1"/>
      <c r="B42" s="11">
        <v>5</v>
      </c>
      <c r="C42" s="11" t="s">
        <v>33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11"/>
      <c r="C43" s="11" t="s">
        <v>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1"/>
      <c r="C44" s="11" t="s">
        <v>35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1"/>
      <c r="C45" s="11" t="s">
        <v>36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1">
        <v>6</v>
      </c>
      <c r="C46" s="11" t="s">
        <v>37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1"/>
      <c r="C47" s="11" t="s">
        <v>38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C19:E19"/>
    <mergeCell ref="F19:I19"/>
    <mergeCell ref="B20:I20"/>
    <mergeCell ref="C13:E13"/>
    <mergeCell ref="C14:E14"/>
    <mergeCell ref="F14:I14"/>
    <mergeCell ref="C15:E15"/>
    <mergeCell ref="F15:I15"/>
    <mergeCell ref="C16:E16"/>
    <mergeCell ref="F16:I16"/>
    <mergeCell ref="F13:I13"/>
    <mergeCell ref="C17:E17"/>
    <mergeCell ref="F17:I17"/>
    <mergeCell ref="C18:E18"/>
    <mergeCell ref="F18:I18"/>
    <mergeCell ref="B8:P8"/>
    <mergeCell ref="B9:P9"/>
    <mergeCell ref="B10:P10"/>
    <mergeCell ref="E11:P11"/>
    <mergeCell ref="C12:E12"/>
    <mergeCell ref="F12:I12"/>
  </mergeCells>
  <pageMargins left="0.7" right="0.7" top="0.75" bottom="0.75" header="0" footer="0"/>
  <pageSetup paperSize="162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CODE</vt:lpstr>
      <vt:lpstr>CODE!Print_Area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Bingbong Gutierrez</dc:creator>
  <cp:lastModifiedBy>JULIUS CAEZAR  SALVADOR</cp:lastModifiedBy>
  <cp:lastPrinted>2025-11-19T07:56:36Z</cp:lastPrinted>
  <dcterms:created xsi:type="dcterms:W3CDTF">2023-10-05T23:36:06Z</dcterms:created>
  <dcterms:modified xsi:type="dcterms:W3CDTF">2026-05-07T02:35:48Z</dcterms:modified>
</cp:coreProperties>
</file>